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h Zoe\Downloads\m4ace\"/>
    </mc:Choice>
  </mc:AlternateContent>
  <xr:revisionPtr revIDLastSave="0" documentId="8_{69C0B976-0E28-414B-8417-F99AE7C246F4}" xr6:coauthVersionLast="47" xr6:coauthVersionMax="47" xr10:uidLastSave="{00000000-0000-0000-0000-000000000000}"/>
  <bookViews>
    <workbookView xWindow="-108" yWindow="-108" windowWidth="23256" windowHeight="12456" xr2:uid="{8F03C797-9B20-4AAA-9360-952A0C5FFA7F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B3" i="1"/>
  <c r="B4" i="1"/>
  <c r="C4" i="1" s="1"/>
  <c r="B5" i="1"/>
  <c r="C5" i="1" s="1"/>
  <c r="D5" i="1" s="1"/>
  <c r="B6" i="1"/>
  <c r="C6" i="1" s="1"/>
  <c r="D6" i="1" s="1"/>
  <c r="B7" i="1"/>
  <c r="C7" i="1" s="1"/>
  <c r="D7" i="1" s="1"/>
  <c r="B8" i="1"/>
  <c r="C8" i="1" s="1"/>
  <c r="D8" i="1" s="1"/>
  <c r="B9" i="1"/>
  <c r="C9" i="1" s="1"/>
  <c r="B10" i="1"/>
  <c r="C10" i="1" s="1"/>
  <c r="B11" i="1"/>
  <c r="C11" i="1" s="1"/>
  <c r="D11" i="1" s="1"/>
  <c r="B12" i="1"/>
  <c r="C12" i="1" s="1"/>
  <c r="I12" i="1" s="1"/>
  <c r="B13" i="1"/>
  <c r="C13" i="1" s="1"/>
  <c r="B14" i="1"/>
  <c r="C14" i="1" s="1"/>
  <c r="B15" i="1"/>
  <c r="B16" i="1"/>
  <c r="C16" i="1" s="1"/>
  <c r="B2" i="1"/>
  <c r="C2" i="1" s="1"/>
  <c r="D2" i="1" s="1"/>
  <c r="I8" i="1" l="1"/>
  <c r="J7" i="1"/>
  <c r="D9" i="1"/>
  <c r="E9" i="1" s="1"/>
  <c r="L9" i="1" s="1"/>
  <c r="I9" i="1"/>
  <c r="J9" i="1"/>
  <c r="D4" i="1"/>
  <c r="E4" i="1" s="1"/>
  <c r="L4" i="1" s="1"/>
  <c r="D16" i="1"/>
  <c r="E16" i="1" s="1"/>
  <c r="L16" i="1" s="1"/>
  <c r="D10" i="1"/>
  <c r="E10" i="1" s="1"/>
  <c r="L10" i="1" s="1"/>
  <c r="J11" i="1"/>
  <c r="J8" i="1"/>
  <c r="J6" i="1"/>
  <c r="I4" i="1"/>
  <c r="J2" i="1"/>
  <c r="I16" i="1"/>
  <c r="J5" i="1"/>
  <c r="I11" i="1"/>
  <c r="D14" i="1"/>
  <c r="E14" i="1" s="1"/>
  <c r="L14" i="1" s="1"/>
  <c r="I14" i="1"/>
  <c r="D13" i="1"/>
  <c r="E13" i="1" s="1"/>
  <c r="L13" i="1" s="1"/>
  <c r="I13" i="1"/>
  <c r="I10" i="1"/>
  <c r="C3" i="1"/>
  <c r="I7" i="1"/>
  <c r="C15" i="1"/>
  <c r="I5" i="1"/>
  <c r="I6" i="1"/>
  <c r="I2" i="1"/>
  <c r="E7" i="1"/>
  <c r="L7" i="1" s="1"/>
  <c r="E5" i="1"/>
  <c r="L5" i="1" s="1"/>
  <c r="K5" i="1"/>
  <c r="E6" i="1"/>
  <c r="L6" i="1" s="1"/>
  <c r="E11" i="1"/>
  <c r="L11" i="1" s="1"/>
  <c r="D12" i="1"/>
  <c r="J12" i="1" s="1"/>
  <c r="E8" i="1"/>
  <c r="L8" i="1" s="1"/>
  <c r="E2" i="1"/>
  <c r="L2" i="1" s="1"/>
  <c r="J4" i="1" l="1"/>
  <c r="J10" i="1"/>
  <c r="J16" i="1"/>
  <c r="K9" i="1"/>
  <c r="K10" i="1"/>
  <c r="J13" i="1"/>
  <c r="J14" i="1"/>
  <c r="D15" i="1"/>
  <c r="E15" i="1" s="1"/>
  <c r="L15" i="1" s="1"/>
  <c r="J15" i="1"/>
  <c r="D3" i="1"/>
  <c r="E3" i="1" s="1"/>
  <c r="L3" i="1" s="1"/>
  <c r="K7" i="1"/>
  <c r="K14" i="1"/>
  <c r="K11" i="1"/>
  <c r="I15" i="1"/>
  <c r="I3" i="1"/>
  <c r="K2" i="1"/>
  <c r="K16" i="1"/>
  <c r="K8" i="1"/>
  <c r="K6" i="1"/>
  <c r="K4" i="1"/>
  <c r="K13" i="1"/>
  <c r="E12" i="1"/>
  <c r="L12" i="1" s="1"/>
  <c r="K15" i="1" l="1"/>
  <c r="J3" i="1"/>
  <c r="K3" i="1"/>
  <c r="K1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</calcChain>
</file>

<file path=xl/sharedStrings.xml><?xml version="1.0" encoding="utf-8"?>
<sst xmlns="http://schemas.openxmlformats.org/spreadsheetml/2006/main" count="27" uniqueCount="27">
  <si>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</si>
  <si>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</si>
  <si>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</si>
  <si>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</si>
  <si>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</si>
  <si>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</si>
  <si>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</si>
  <si>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</si>
  <si>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</si>
  <si>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</si>
  <si>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</si>
  <si>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</si>
  <si>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</si>
  <si>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</si>
  <si>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</si>
  <si>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First ;</t>
  </si>
  <si>
    <t>Second ;</t>
  </si>
  <si>
    <t>Third ;</t>
  </si>
  <si>
    <t>Fourth ;</t>
  </si>
  <si>
    <t>Raw Data</t>
  </si>
  <si>
    <t>Last name</t>
  </si>
  <si>
    <t>First name</t>
  </si>
  <si>
    <t>Date</t>
  </si>
  <si>
    <t>Salary</t>
  </si>
  <si>
    <t>Department</t>
  </si>
  <si>
    <t>Job title</t>
  </si>
  <si>
    <t>Employer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</si>
</sst>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FCFA&quot;#,##0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168" formatCode="&quot;FCFA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ourier New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ourier New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ourier New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ourier New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ourier New"/>
        <family val="3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4F52F-6831-46DB-8857-CB026D2E4630}" name="Table2" displayName="Table2" ref="A1:L16" totalsRowShown="0">
  <autoFilter ref="A1:L16" xr:uid="{7994F52F-6831-46DB-8857-CB026D2E4630}"/>
  <tableColumns count="12">
    <tableColumn id="1" xr3:uid="{BA2EBCAD-3229-4D4A-BE78-97C623CC1A8A}" name="Raw Data" dataDxfId="8"/>
    <tableColumn id="2" xr3:uid="{7AC8BBFF-5D1A-4456-AC12-6462C8374E21}" name="First ;" dataDxfId="7">
      <calculatedColumnFormula>SEARCH(";",A2,1)</calculatedColumnFormula>
    </tableColumn>
    <tableColumn id="3" xr3:uid="{1EAB4F0B-D7A2-450D-A833-D5D18E08E255}" name="Second ;" dataDxfId="6">
      <calculatedColumnFormula>SEARCH(";",A2,B2+1)</calculatedColumnFormula>
    </tableColumn>
    <tableColumn id="4" xr3:uid="{2EB41E82-2339-4AE4-82BA-82BF063456BA}" name="Third ;" dataDxfId="5">
      <calculatedColumnFormula>SEARCH(";",A2,C2+1)</calculatedColumnFormula>
    </tableColumn>
    <tableColumn id="5" xr3:uid="{4AF756BF-7BFD-48D4-9873-59142FE11AB9}" name="Fourth ;" dataDxfId="4">
      <calculatedColumnFormula>SEARCH(";",A2,D2+1)</calculatedColumnFormula>
    </tableColumn>
    <tableColumn id="6" xr3:uid="{39AAEDD6-DDFE-4804-989C-23569DF3A266}" name="Last name">
      <calculatedColumnFormula>LEFT(A2,FIND(",",A2,1)-1)</calculatedColumnFormula>
    </tableColumn>
    <tableColumn id="7" xr3:uid="{10781B11-BD30-4D93-A4F7-D09710C355E3}" name="First name">
      <calculatedColumnFormula>MID(A2,LEN(F2)+3,B2-LEN(F2)-3)</calculatedColumnFormula>
    </tableColumn>
    <tableColumn id="12" xr3:uid="{8BAAB48B-A4BE-4F78-9EB6-9540A7BF52DE}" name="Employer name" dataDxfId="0">
      <calculatedColumnFormula>CONCATENATE(Table2[[#This Row],[Last name]]," ",Table2[[#This Row],[First name]])</calculatedColumnFormula>
    </tableColumn>
    <tableColumn id="8" xr3:uid="{9CD4C654-84C6-47AF-84F3-E9F8EF8358F3}" name="Date" dataDxfId="2">
      <calculatedColumnFormula>MID(A2,B2+1,C2-B2-1)</calculatedColumnFormula>
    </tableColumn>
    <tableColumn id="9" xr3:uid="{B979FBE5-3A63-468A-AA06-B9695E2F6C8E}" name="Salary" dataDxfId="3">
      <calculatedColumnFormula>MID(A2,C2+1,D2-C2-1)</calculatedColumnFormula>
    </tableColumn>
    <tableColumn id="10" xr3:uid="{2C469D78-99EE-4535-AD4F-A2C0042A928A}" name="Department">
      <calculatedColumnFormula>MID(A2,D2+1,E2-D2-1)</calculatedColumnFormula>
    </tableColumn>
    <tableColumn id="11" xr3:uid="{39E1EB3D-02D3-4D83-988F-7C23CF9DEC1B}" name="Job title" dataDxfId="1">
      <calculatedColumnFormula>RIGHT(A2,LEN(A2)-E2)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0925-4806-489F-A76E-D9C46AA8B362}">
  <dimension ref="A1:L16"/>
  <sheetViews>
    <sheetView tabSelected="1" topLeftCell="H1" zoomScale="190" zoomScaleNormal="190" workbookViewId="0">
      <selection activeCell="F1" sqref="F1:G1048576"/>
    </sheetView>
  </sheetViews>
  <sheetFormatPr defaultRowHeight="14.4" x14ac:dyDescent="0.3"/>
  <cols>
    <col min="1" max="1" width="54.5546875" hidden="1" customWidth="1"/>
    <col min="2" max="2" width="5.6640625" hidden="1" customWidth="1"/>
    <col min="3" max="3" width="8" hidden="1" customWidth="1"/>
    <col min="4" max="4" width="6.33203125" hidden="1" customWidth="1"/>
    <col min="5" max="5" width="7.44140625" hidden="1" customWidth="1"/>
    <col min="6" max="6" width="11.109375" hidden="1" customWidth="1"/>
    <col min="7" max="7" width="12" hidden="1" customWidth="1"/>
    <col min="8" max="8" width="17.5546875" bestFit="1" customWidth="1"/>
    <col min="9" max="9" width="12" style="3" customWidth="1"/>
    <col min="10" max="10" width="12" style="2" customWidth="1"/>
    <col min="11" max="11" width="12" customWidth="1"/>
    <col min="12" max="12" width="18.77734375" bestFit="1" customWidth="1"/>
  </cols>
  <sheetData>
    <row r="1" spans="1:12" x14ac:dyDescent="0.3">
      <c r="A1" t="s">
        <v>19</v>
      </c>
      <c r="B1" t="s">
        <v>15</v>
      </c>
      <c r="C1" t="s">
        <v>16</v>
      </c>
      <c r="D1" t="s">
        <v>17</v>
      </c>
      <c r="E1" t="s">
        <v>18</v>
      </c>
      <c r="F1" t="s">
        <v>20</v>
      </c>
      <c r="G1" t="s">
        <v>21</v>
      </c>
      <c r="H1" t="s">
        <v>26</v>
      </c>
      <c r="I1" s="3" t="s">
        <v>22</v>
      </c>
      <c r="J1" s="2" t="s">
        <v>23</v>
      </c>
      <c r="K1" t="s">
        <v>24</v>
      </c>
      <c r="L1" t="s">
        <v>25</v>
      </c>
    </row>
    <row r="2" spans="1:12" x14ac:dyDescent="0.3">
      <c r="A2" s="1" t="s">
        <v>0</v>
      </c>
      <c r="B2" s="1">
        <f>SEARCH(";",A2,1)</f>
        <v>14</v>
      </c>
      <c r="C2" s="1">
        <f>SEARCH(";",A2,B2+1)</f>
        <v>20</v>
      </c>
      <c r="D2" s="1">
        <f>SEARCH(";",A2,C2+1)</f>
        <v>26</v>
      </c>
      <c r="E2" s="1">
        <f>SEARCH(";",A2,D2+1)</f>
        <v>32</v>
      </c>
      <c r="F2" t="str">
        <f>LEFT(A2,FIND(",",A2,1)-1)</f>
        <v>JUAREZ</v>
      </c>
      <c r="G2" t="str">
        <f>MID(A2,LEN(F2)+3,B2-LEN(F2)-3)</f>
        <v xml:space="preserve">JOSE </v>
      </c>
      <c r="H2" t="str">
        <f>CONCATENATE(Table2[[#This Row],[Last name]]," ",Table2[[#This Row],[First name]])</f>
        <v xml:space="preserve">JUAREZ JOSE </v>
      </c>
      <c r="I2" s="3" t="str">
        <f>MID(A2,B2+1,C2-B2-1)</f>
        <v>41297</v>
      </c>
      <c r="J2" s="2" t="str">
        <f>MID(A2,C2+1,D2-C2-1)</f>
        <v>39000</v>
      </c>
      <c r="K2" t="str">
        <f>MID(A2,D2+1,E2-D2-1)</f>
        <v>ADMIN</v>
      </c>
      <c r="L2" t="str">
        <f>RIGHT(A2,LEN(A2)-E2)</f>
        <v>INTERN</v>
      </c>
    </row>
    <row r="3" spans="1:12" x14ac:dyDescent="0.3">
      <c r="A3" s="1" t="s">
        <v>1</v>
      </c>
      <c r="B3" s="1">
        <f t="shared" ref="B3:B16" si="0">SEARCH(";",A3,1)</f>
        <v>17</v>
      </c>
      <c r="C3" s="1">
        <f t="shared" ref="C3:C16" si="1">SEARCH(";",A3,B3+1)</f>
        <v>28</v>
      </c>
      <c r="D3" s="1">
        <f t="shared" ref="D3:D16" si="2">SEARCH(";",A3,C3+1)</f>
        <v>34</v>
      </c>
      <c r="E3" s="1">
        <f t="shared" ref="E3:E16" si="3">SEARCH(";",A3,D3+1)</f>
        <v>46</v>
      </c>
      <c r="F3" t="str">
        <f>LEFT(A3,FIND(",",A3,1)-1)</f>
        <v>ABRAHAM</v>
      </c>
      <c r="G3" t="str">
        <f t="shared" ref="G3:G16" si="4">MID(A3,LEN(F3)+3,B3-LEN(F3)-3)</f>
        <v xml:space="preserve">JOHNNY </v>
      </c>
      <c r="H3" t="str">
        <f>CONCATENATE(Table2[[#This Row],[Last name]]," ",Table2[[#This Row],[First name]])</f>
        <v xml:space="preserve">ABRAHAM JOHNNY </v>
      </c>
      <c r="I3" s="3" t="str">
        <f t="shared" ref="I3:I16" si="5">MID(A3,B3+1,C3-B3-1)</f>
        <v>03/30/2013</v>
      </c>
      <c r="J3" s="2" t="str">
        <f t="shared" ref="J3:J16" si="6">MID(A3,C3+1,D3-C3-1)</f>
        <v>27000</v>
      </c>
      <c r="K3" t="str">
        <f t="shared" ref="K3:K16" si="7">MID(A3,D3+1,E3-D3-1)</f>
        <v>ENGINEERING</v>
      </c>
      <c r="L3" t="str">
        <f>RIGHT(A3,LEN(A3)-E3)</f>
        <v>TRAINEE</v>
      </c>
    </row>
    <row r="4" spans="1:12" x14ac:dyDescent="0.3">
      <c r="A4" s="1" t="s">
        <v>2</v>
      </c>
      <c r="B4" s="1">
        <f t="shared" si="0"/>
        <v>13</v>
      </c>
      <c r="C4" s="1">
        <f t="shared" si="1"/>
        <v>24</v>
      </c>
      <c r="D4" s="1">
        <f t="shared" si="2"/>
        <v>30</v>
      </c>
      <c r="E4" s="1">
        <f t="shared" si="3"/>
        <v>36</v>
      </c>
      <c r="F4" t="str">
        <f>LEFT(A4,FIND(",",A4,1)-1)</f>
        <v>BAKER</v>
      </c>
      <c r="G4" t="str">
        <f t="shared" si="4"/>
        <v>SARAH</v>
      </c>
      <c r="H4" t="str">
        <f>CONCATENATE(Table2[[#This Row],[Last name]]," ",Table2[[#This Row],[First name]])</f>
        <v>BAKER SARAH</v>
      </c>
      <c r="I4" s="3" t="str">
        <f t="shared" si="5"/>
        <v>04/30/2015</v>
      </c>
      <c r="J4" s="2" t="str">
        <f t="shared" si="6"/>
        <v>36000</v>
      </c>
      <c r="K4" t="str">
        <f t="shared" si="7"/>
        <v>SALES</v>
      </c>
      <c r="L4" t="str">
        <f>RIGHT(A4,LEN(A4)-E4)</f>
        <v>SALES EXECUTIVE</v>
      </c>
    </row>
    <row r="5" spans="1:12" x14ac:dyDescent="0.3">
      <c r="A5" s="1" t="s">
        <v>3</v>
      </c>
      <c r="B5" s="1">
        <f t="shared" si="0"/>
        <v>17</v>
      </c>
      <c r="C5" s="1">
        <f t="shared" si="1"/>
        <v>28</v>
      </c>
      <c r="D5" s="1">
        <f t="shared" si="2"/>
        <v>34</v>
      </c>
      <c r="E5" s="1">
        <f t="shared" si="3"/>
        <v>46</v>
      </c>
      <c r="F5" t="str">
        <f>LEFT(A5,FIND(",",A5,1)-1)</f>
        <v>BALOTELLI</v>
      </c>
      <c r="G5" t="str">
        <f t="shared" si="4"/>
        <v>BILLY</v>
      </c>
      <c r="H5" t="str">
        <f>CONCATENATE(Table2[[#This Row],[Last name]]," ",Table2[[#This Row],[First name]])</f>
        <v>BALOTELLI BILLY</v>
      </c>
      <c r="I5" s="3" t="str">
        <f t="shared" si="5"/>
        <v>11/15/2007</v>
      </c>
      <c r="J5" s="2" t="str">
        <f t="shared" si="6"/>
        <v>23900</v>
      </c>
      <c r="K5" t="str">
        <f t="shared" si="7"/>
        <v>ENGINEERING</v>
      </c>
      <c r="L5" t="str">
        <f>RIGHT(A5,LEN(A5)-E5)</f>
        <v>INTERN</v>
      </c>
    </row>
    <row r="6" spans="1:12" x14ac:dyDescent="0.3">
      <c r="A6" s="1" t="s">
        <v>4</v>
      </c>
      <c r="B6" s="1">
        <f t="shared" si="0"/>
        <v>15</v>
      </c>
      <c r="C6" s="1">
        <f t="shared" si="1"/>
        <v>21</v>
      </c>
      <c r="D6" s="1">
        <f t="shared" si="2"/>
        <v>27</v>
      </c>
      <c r="E6" s="1">
        <f t="shared" si="3"/>
        <v>39</v>
      </c>
      <c r="F6" t="str">
        <f>LEFT(A6,FIND(",",A6,1)-1)</f>
        <v>BISHOP</v>
      </c>
      <c r="G6" t="str">
        <f t="shared" si="4"/>
        <v xml:space="preserve">TIANA </v>
      </c>
      <c r="H6" t="str">
        <f>CONCATENATE(Table2[[#This Row],[Last name]]," ",Table2[[#This Row],[First name]])</f>
        <v xml:space="preserve">BISHOP TIANA </v>
      </c>
      <c r="I6" s="3" t="str">
        <f t="shared" si="5"/>
        <v>37959</v>
      </c>
      <c r="J6" s="2" t="str">
        <f t="shared" si="6"/>
        <v>46500</v>
      </c>
      <c r="K6" t="str">
        <f t="shared" si="7"/>
        <v>ENGINEERING</v>
      </c>
      <c r="L6" t="str">
        <f>RIGHT(A6,LEN(A6)-E6)</f>
        <v>MANAGER</v>
      </c>
    </row>
    <row r="7" spans="1:12" x14ac:dyDescent="0.3">
      <c r="A7" s="1" t="s">
        <v>5</v>
      </c>
      <c r="B7" s="1">
        <f t="shared" si="0"/>
        <v>16</v>
      </c>
      <c r="C7" s="1">
        <f t="shared" si="1"/>
        <v>27</v>
      </c>
      <c r="D7" s="1">
        <f t="shared" si="2"/>
        <v>33</v>
      </c>
      <c r="E7" s="1">
        <f t="shared" si="3"/>
        <v>42</v>
      </c>
      <c r="F7" t="str">
        <f>LEFT(A7,FIND(",",A7,1)-1)</f>
        <v>BOATENG</v>
      </c>
      <c r="G7" t="str">
        <f t="shared" si="4"/>
        <v>TERRYY</v>
      </c>
      <c r="H7" t="str">
        <f>CONCATENATE(Table2[[#This Row],[Last name]]," ",Table2[[#This Row],[First name]])</f>
        <v>BOATENG TERRYY</v>
      </c>
      <c r="I7" s="3" t="str">
        <f t="shared" si="5"/>
        <v>07/27/2009</v>
      </c>
      <c r="J7" s="2" t="str">
        <f t="shared" si="6"/>
        <v>50000</v>
      </c>
      <c r="K7" t="str">
        <f t="shared" si="7"/>
        <v>ACCOUNTS</v>
      </c>
      <c r="L7" t="str">
        <f>RIGHT(A7,LEN(A7)-E7)</f>
        <v>COST ACCOUNTANT</v>
      </c>
    </row>
    <row r="8" spans="1:12" x14ac:dyDescent="0.3">
      <c r="A8" s="1" t="s">
        <v>6</v>
      </c>
      <c r="B8" s="1">
        <f t="shared" si="0"/>
        <v>12</v>
      </c>
      <c r="C8" s="1">
        <f t="shared" si="1"/>
        <v>23</v>
      </c>
      <c r="D8" s="1">
        <f t="shared" si="2"/>
        <v>29</v>
      </c>
      <c r="E8" s="1">
        <f t="shared" si="3"/>
        <v>34</v>
      </c>
      <c r="F8" t="str">
        <f>LEFT(A8,FIND(",",A8,1)-1)</f>
        <v>BOER</v>
      </c>
      <c r="G8" t="str">
        <f t="shared" si="4"/>
        <v xml:space="preserve">FRED </v>
      </c>
      <c r="H8" t="str">
        <f>CONCATENATE(Table2[[#This Row],[Last name]]," ",Table2[[#This Row],[First name]])</f>
        <v xml:space="preserve">BOER FRED </v>
      </c>
      <c r="I8" s="3" t="str">
        <f t="shared" si="5"/>
        <v>12/23/2010</v>
      </c>
      <c r="J8" s="2" t="str">
        <f t="shared" si="6"/>
        <v>46000</v>
      </c>
      <c r="K8" t="str">
        <f t="shared" si="7"/>
        <v>MKTG</v>
      </c>
      <c r="L8" t="str">
        <f>RIGHT(A8,LEN(A8)-E8)</f>
        <v>DESIGNER</v>
      </c>
    </row>
    <row r="9" spans="1:12" x14ac:dyDescent="0.3">
      <c r="A9" s="1" t="s">
        <v>7</v>
      </c>
      <c r="B9" s="1">
        <f t="shared" si="0"/>
        <v>14</v>
      </c>
      <c r="C9" s="1">
        <f t="shared" si="1"/>
        <v>25</v>
      </c>
      <c r="D9" s="1">
        <f t="shared" si="2"/>
        <v>31</v>
      </c>
      <c r="E9" s="1">
        <f t="shared" si="3"/>
        <v>37</v>
      </c>
      <c r="F9" t="str">
        <f>LEFT(A9,FIND(",",A9,1)-1)</f>
        <v>BARKER</v>
      </c>
      <c r="G9" t="str">
        <f t="shared" si="4"/>
        <v>BETTY</v>
      </c>
      <c r="H9" t="str">
        <f>CONCATENATE(Table2[[#This Row],[Last name]]," ",Table2[[#This Row],[First name]])</f>
        <v>BARKER BETTY</v>
      </c>
      <c r="I9" s="3" t="str">
        <f t="shared" si="5"/>
        <v>07/25/2007</v>
      </c>
      <c r="J9" s="2" t="str">
        <f t="shared" si="6"/>
        <v>43500</v>
      </c>
      <c r="K9" t="str">
        <f t="shared" si="7"/>
        <v>SALES</v>
      </c>
      <c r="L9" t="str">
        <f>RIGHT(A9,LEN(A9)-E9)</f>
        <v>SALES EXECUTIVE</v>
      </c>
    </row>
    <row r="10" spans="1:12" x14ac:dyDescent="0.3">
      <c r="A10" s="1" t="s">
        <v>8</v>
      </c>
      <c r="B10" s="1">
        <f t="shared" si="0"/>
        <v>16</v>
      </c>
      <c r="C10" s="1">
        <f t="shared" si="1"/>
        <v>22</v>
      </c>
      <c r="D10" s="1">
        <f t="shared" si="2"/>
        <v>28</v>
      </c>
      <c r="E10" s="1">
        <f t="shared" si="3"/>
        <v>34</v>
      </c>
      <c r="F10" t="str">
        <f>LEFT(A10,FIND(",",A10,1)-1)</f>
        <v xml:space="preserve">BURSTEYN </v>
      </c>
      <c r="G10" t="str">
        <f t="shared" si="4"/>
        <v xml:space="preserve">TOM </v>
      </c>
      <c r="H10" t="str">
        <f>CONCATENATE(Table2[[#This Row],[Last name]]," ",Table2[[#This Row],[First name]])</f>
        <v xml:space="preserve">BURSTEYN  TOM </v>
      </c>
      <c r="I10" s="3" t="str">
        <f t="shared" si="5"/>
        <v>36834</v>
      </c>
      <c r="J10" s="2" t="str">
        <f t="shared" si="6"/>
        <v>21000</v>
      </c>
      <c r="K10" t="str">
        <f t="shared" si="7"/>
        <v>SALES</v>
      </c>
      <c r="L10" t="str">
        <f>RIGHT(A10,LEN(A10)-E10)</f>
        <v>SALES TRAINEE</v>
      </c>
    </row>
    <row r="11" spans="1:12" x14ac:dyDescent="0.3">
      <c r="A11" s="1" t="s">
        <v>9</v>
      </c>
      <c r="B11" s="1">
        <f t="shared" si="0"/>
        <v>17</v>
      </c>
      <c r="C11" s="1">
        <f t="shared" si="1"/>
        <v>23</v>
      </c>
      <c r="D11" s="1">
        <f t="shared" si="2"/>
        <v>29</v>
      </c>
      <c r="E11" s="1">
        <f t="shared" si="3"/>
        <v>35</v>
      </c>
      <c r="F11" t="str">
        <f>LEFT(A11,FIND(",",A11,1)-1)</f>
        <v>BURSTEYN</v>
      </c>
      <c r="G11" t="str">
        <f t="shared" si="4"/>
        <v xml:space="preserve">TAMMY </v>
      </c>
      <c r="H11" t="str">
        <f>CONCATENATE(Table2[[#This Row],[Last name]]," ",Table2[[#This Row],[First name]])</f>
        <v xml:space="preserve">BURSTEYN TAMMY </v>
      </c>
      <c r="I11" s="3" t="str">
        <f t="shared" si="5"/>
        <v>38238</v>
      </c>
      <c r="J11" s="2" t="str">
        <f t="shared" si="6"/>
        <v>38000</v>
      </c>
      <c r="K11" t="str">
        <f t="shared" si="7"/>
        <v>SALES</v>
      </c>
      <c r="L11" t="str">
        <f>RIGHT(A11,LEN(A11)-E11)</f>
        <v>SALES EXECUTIVE</v>
      </c>
    </row>
    <row r="12" spans="1:12" x14ac:dyDescent="0.3">
      <c r="A12" s="1" t="s">
        <v>10</v>
      </c>
      <c r="B12" s="1">
        <f t="shared" si="0"/>
        <v>14</v>
      </c>
      <c r="C12" s="1">
        <f t="shared" si="1"/>
        <v>20</v>
      </c>
      <c r="D12" s="1">
        <f t="shared" si="2"/>
        <v>26</v>
      </c>
      <c r="E12" s="1">
        <f t="shared" si="3"/>
        <v>35</v>
      </c>
      <c r="F12" t="str">
        <f>LEFT(A12,FIND(",",A12,1)-1)</f>
        <v>BUSSER</v>
      </c>
      <c r="G12" t="str">
        <f t="shared" si="4"/>
        <v>BOBBY</v>
      </c>
      <c r="H12" t="str">
        <f>CONCATENATE(Table2[[#This Row],[Last name]]," ",Table2[[#This Row],[First name]])</f>
        <v>BUSSER BOBBY</v>
      </c>
      <c r="I12" s="3" t="str">
        <f t="shared" si="5"/>
        <v>37417</v>
      </c>
      <c r="J12" s="2" t="str">
        <f t="shared" si="6"/>
        <v>29950</v>
      </c>
      <c r="K12" t="str">
        <f t="shared" si="7"/>
        <v>ACCOUNTS</v>
      </c>
      <c r="L12" t="str">
        <f>RIGHT(A12,LEN(A12)-E12)</f>
        <v>SENIOR ADMINISTRATOR</v>
      </c>
    </row>
    <row r="13" spans="1:12" x14ac:dyDescent="0.3">
      <c r="A13" s="1" t="s">
        <v>11</v>
      </c>
      <c r="B13" s="1">
        <f t="shared" si="0"/>
        <v>18</v>
      </c>
      <c r="C13" s="1">
        <f t="shared" si="1"/>
        <v>30</v>
      </c>
      <c r="D13" s="1">
        <f t="shared" si="2"/>
        <v>36</v>
      </c>
      <c r="E13" s="1">
        <f t="shared" si="3"/>
        <v>42</v>
      </c>
      <c r="F13" t="str">
        <f>LEFT(A13,FIND(",",A13,1)-1)</f>
        <v>CASCIEWICZ</v>
      </c>
      <c r="G13" t="str">
        <f t="shared" si="4"/>
        <v>KATHY</v>
      </c>
      <c r="H13" t="str">
        <f>CONCATENATE(Table2[[#This Row],[Last name]]," ",Table2[[#This Row],[First name]])</f>
        <v>CASCIEWICZ KATHY</v>
      </c>
      <c r="I13" s="3" t="str">
        <f t="shared" si="5"/>
        <v xml:space="preserve"> 12/15/2011</v>
      </c>
      <c r="J13" s="2" t="str">
        <f t="shared" si="6"/>
        <v>41000</v>
      </c>
      <c r="K13" t="str">
        <f t="shared" si="7"/>
        <v>SALES</v>
      </c>
      <c r="L13" t="str">
        <f>RIGHT(A13,LEN(A13)-E13)</f>
        <v>SENIOR TECHNICIAN</v>
      </c>
    </row>
    <row r="14" spans="1:12" x14ac:dyDescent="0.3">
      <c r="A14" s="1" t="s">
        <v>12</v>
      </c>
      <c r="B14" s="1">
        <f t="shared" si="0"/>
        <v>14</v>
      </c>
      <c r="C14" s="1">
        <f t="shared" si="1"/>
        <v>20</v>
      </c>
      <c r="D14" s="1">
        <f t="shared" si="2"/>
        <v>26</v>
      </c>
      <c r="E14" s="1">
        <f t="shared" si="3"/>
        <v>32</v>
      </c>
      <c r="F14" t="str">
        <f>LEFT(A14,FIND(",",A14,1)-1)</f>
        <v>COLE</v>
      </c>
      <c r="G14" t="str">
        <f t="shared" si="4"/>
        <v xml:space="preserve">ASHLEY </v>
      </c>
      <c r="H14" t="str">
        <f>CONCATENATE(Table2[[#This Row],[Last name]]," ",Table2[[#This Row],[First name]])</f>
        <v xml:space="preserve">COLE ASHLEY </v>
      </c>
      <c r="I14" s="3" t="str">
        <f t="shared" si="5"/>
        <v>40483</v>
      </c>
      <c r="J14" s="2" t="str">
        <f t="shared" si="6"/>
        <v>54000</v>
      </c>
      <c r="K14" t="str">
        <f t="shared" si="7"/>
        <v>SALES</v>
      </c>
      <c r="L14" t="str">
        <f>RIGHT(A14,LEN(A14)-E14)</f>
        <v>COST ACCOUNTANT</v>
      </c>
    </row>
    <row r="15" spans="1:12" x14ac:dyDescent="0.3">
      <c r="A15" s="1" t="s">
        <v>13</v>
      </c>
      <c r="B15" s="1">
        <f t="shared" si="0"/>
        <v>17</v>
      </c>
      <c r="C15" s="1">
        <f t="shared" si="1"/>
        <v>29</v>
      </c>
      <c r="D15" s="1">
        <f t="shared" si="2"/>
        <v>35</v>
      </c>
      <c r="E15" s="1">
        <f t="shared" si="3"/>
        <v>41</v>
      </c>
      <c r="F15" t="str">
        <f>LEFT(A15,FIND(",",A15,1)-1)</f>
        <v>COOKSON</v>
      </c>
      <c r="G15" t="str">
        <f t="shared" si="4"/>
        <v>CHARLES</v>
      </c>
      <c r="H15" t="str">
        <f>CONCATENATE(Table2[[#This Row],[Last name]]," ",Table2[[#This Row],[First name]])</f>
        <v>COOKSON CHARLES</v>
      </c>
      <c r="I15" s="3" t="str">
        <f t="shared" si="5"/>
        <v xml:space="preserve"> 04/03/2012</v>
      </c>
      <c r="J15" s="2" t="str">
        <f t="shared" si="6"/>
        <v>63200</v>
      </c>
      <c r="K15" t="str">
        <f t="shared" si="7"/>
        <v>R &amp; D</v>
      </c>
      <c r="L15" t="str">
        <f>RIGHT(A15,LEN(A15)-E15)</f>
        <v>VP</v>
      </c>
    </row>
    <row r="16" spans="1:12" x14ac:dyDescent="0.3">
      <c r="A16" s="1" t="s">
        <v>14</v>
      </c>
      <c r="B16" s="1">
        <f t="shared" si="0"/>
        <v>16</v>
      </c>
      <c r="C16" s="1">
        <f t="shared" si="1"/>
        <v>27</v>
      </c>
      <c r="D16" s="1">
        <f t="shared" si="2"/>
        <v>33</v>
      </c>
      <c r="E16" s="1">
        <f t="shared" si="3"/>
        <v>39</v>
      </c>
      <c r="F16" t="str">
        <f t="shared" ref="F16" si="8">LEFT(A16,FIND(",",A16,1)-1)</f>
        <v>CROSSLEY</v>
      </c>
      <c r="G16" t="str">
        <f t="shared" si="4"/>
        <v xml:space="preserve">ERIN </v>
      </c>
      <c r="H16" t="str">
        <f>CONCATENATE(Table2[[#This Row],[Last name]]," ",Table2[[#This Row],[First name]])</f>
        <v xml:space="preserve">CROSSLEY ERIN </v>
      </c>
      <c r="I16" s="3" t="str">
        <f t="shared" si="5"/>
        <v>04/23/2009</v>
      </c>
      <c r="J16" s="2" t="str">
        <f t="shared" si="6"/>
        <v>46000</v>
      </c>
      <c r="K16" t="str">
        <f t="shared" si="7"/>
        <v>ADMIN</v>
      </c>
      <c r="L16" t="str">
        <f>RIGHT(A16,LEN(A16)-E16)</f>
        <v>TEAM LEADER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Ayuk</dc:creator>
  <cp:lastModifiedBy>Ruth Ayuk</cp:lastModifiedBy>
  <dcterms:created xsi:type="dcterms:W3CDTF">2026-03-01T16:44:07Z</dcterms:created>
  <dcterms:modified xsi:type="dcterms:W3CDTF">2026-03-01T18:22:28Z</dcterms:modified>
</cp:coreProperties>
</file>